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5F54"/>
      <sz val="16"/>
    </font>
    <font>
      <name val="Calibri"/>
      <i val="1"/>
      <color rgb="006B7280"/>
    </font>
    <font>
      <name val="Calibri"/>
      <b val="1"/>
      <color rgb="00FFFFFF"/>
    </font>
    <font>
      <b val="1"/>
      <color rgb="001F5F54"/>
      <sz val="13"/>
    </font>
    <font>
      <b val="1"/>
      <color rgb="001F5F54"/>
    </font>
  </fonts>
  <fills count="4">
    <fill>
      <patternFill/>
    </fill>
    <fill>
      <patternFill patternType="gray125"/>
    </fill>
    <fill>
      <patternFill patternType="solid">
        <fgColor rgb="001F5F5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164" fontId="5" fillId="0" borderId="1" pivotButton="0" quotePrefix="0" xfId="0"/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Rotatividade e absenteísmo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'Painel'!$A$5:$A$16</f>
            </numRef>
          </cat>
          <val>
            <numRef>
              <f>'Painel'!$B$5:$B$16</f>
            </numRef>
          </val>
          <smooth val="0"/>
        </ser>
        <ser>
          <idx val="1"/>
          <order val="1"/>
          <tx>
            <strRef>
              <f>'Painel'!C4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'Painel'!$A$5:$A$16</f>
            </numRef>
          </cat>
          <val>
            <numRef>
              <f>'Painel'!$C$5:$C$16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por contratação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'Painel'!$A$5:$A$16</f>
            </numRef>
          </cat>
          <val>
            <numRef>
              <f>'Painel'!$E$5:$E$16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Painel de indicadores de RH</t>
        </is>
      </c>
    </row>
    <row r="3">
      <c r="A3" s="2" t="inlineStr">
        <is>
          <t>1. Na aba 'Dados', preencha uma linha por mês (células amarelas). Os valores que já estão lá são EXEMPLOS: apague e coloque os seus.</t>
        </is>
      </c>
    </row>
    <row r="4">
      <c r="A4" s="2" t="inlineStr">
        <is>
          <t>2. Na aba 'Painel', os indicadores e os gráficos se atualizam sozinhos.</t>
        </is>
      </c>
    </row>
    <row r="5">
      <c r="A5" s="2" t="inlineStr">
        <is>
          <t>3. Ao fim de cada mês, escreva a análise no modelo 'relatorio-mensal.docx'.</t>
        </is>
      </c>
    </row>
    <row r="6">
      <c r="A6" s="2" t="inlineStr"/>
    </row>
    <row r="7">
      <c r="A7" s="2" t="inlineStr">
        <is>
          <t>Como cada indicador é calculado:</t>
        </is>
      </c>
    </row>
    <row r="8">
      <c r="A8" s="2" t="inlineStr">
        <is>
          <t>• Rotatividade = ((admissões + desligamentos) ÷ 2) ÷ quadro no início do mês</t>
        </is>
      </c>
    </row>
    <row r="9">
      <c r="A9" s="2" t="inlineStr">
        <is>
          <t>• Absenteísmo = dias de falta ÷ (quadro no início do mês × dias úteis)</t>
        </is>
      </c>
    </row>
    <row r="10">
      <c r="A10" s="2" t="inlineStr">
        <is>
          <t>• Tempo de contratação = média de dias entre abrir a vaga e contratar</t>
        </is>
      </c>
    </row>
    <row r="11">
      <c r="A11" s="2" t="inlineStr">
        <is>
          <t>• Custo por contratação = custo total de recrutamento ÷ número de contratações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2" customWidth="1" min="4" max="4"/>
    <col width="22" customWidth="1" min="5" max="5"/>
    <col width="3" customWidth="1" min="6" max="6"/>
    <col width="30" customWidth="1" min="7" max="7"/>
    <col width="14" customWidth="1" min="8" max="8"/>
  </cols>
  <sheetData>
    <row r="1">
      <c r="A1" s="1" t="inlineStr">
        <is>
          <t>Painel mensal</t>
        </is>
      </c>
    </row>
    <row r="4" ht="34" customHeight="1">
      <c r="A4" s="3" t="inlineStr">
        <is>
          <t>Mês</t>
        </is>
      </c>
      <c r="B4" s="3" t="inlineStr">
        <is>
          <t>Rotatividade</t>
        </is>
      </c>
      <c r="C4" s="3" t="inlineStr">
        <is>
          <t>Absenteísmo</t>
        </is>
      </c>
      <c r="D4" s="3" t="inlineStr">
        <is>
          <t>Tempo de contratação (dias)</t>
        </is>
      </c>
      <c r="E4" s="3" t="inlineStr">
        <is>
          <t>Custo por contratação (R$)</t>
        </is>
      </c>
      <c r="G4" s="4" t="inlineStr">
        <is>
          <t>Médias do período</t>
        </is>
      </c>
    </row>
    <row r="5">
      <c r="A5" s="5">
        <f>Dados!A5</f>
        <v/>
      </c>
      <c r="B5" s="6">
        <f>IF(OR(Dados!B5="",Dados!B5=0),NA(),((Dados!C5+Dados!D5)/2)/Dados!B5)</f>
        <v/>
      </c>
      <c r="C5" s="6">
        <f>IF(OR(Dados!B5="",Dados!F5=""),NA(),Dados!E5/(Dados!B5*Dados!F5))</f>
        <v/>
      </c>
      <c r="D5" s="7">
        <f>IF(Dados!H5="",NA(),Dados!H5)</f>
        <v/>
      </c>
      <c r="E5" s="8">
        <f>IF(OR(Dados!G5="",Dados!G5=0),NA(),Dados!I5/Dados!G5)</f>
        <v/>
      </c>
      <c r="G5" s="9" t="inlineStr">
        <is>
          <t>Rotatividade média</t>
        </is>
      </c>
      <c r="H5" s="10">
        <f>IFERROR(SUMPRODUCT(--ISNUMBER(B5:B16),IFERROR(B5:B16,0))/SUMPRODUCT(--ISNUMBER(B5:B16)),"")</f>
        <v/>
      </c>
    </row>
    <row r="6">
      <c r="A6" s="5">
        <f>Dados!A6</f>
        <v/>
      </c>
      <c r="B6" s="6">
        <f>IF(OR(Dados!B6="",Dados!B6=0),NA(),((Dados!C6+Dados!D6)/2)/Dados!B6)</f>
        <v/>
      </c>
      <c r="C6" s="6">
        <f>IF(OR(Dados!B6="",Dados!F6=""),NA(),Dados!E6/(Dados!B6*Dados!F6))</f>
        <v/>
      </c>
      <c r="D6" s="7">
        <f>IF(Dados!H6="",NA(),Dados!H6)</f>
        <v/>
      </c>
      <c r="E6" s="8">
        <f>IF(OR(Dados!G6="",Dados!G6=0),NA(),Dados!I6/Dados!G6)</f>
        <v/>
      </c>
      <c r="G6" s="9" t="inlineStr">
        <is>
          <t>Absenteísmo médio</t>
        </is>
      </c>
      <c r="H6" s="10">
        <f>IFERROR(SUMPRODUCT(--ISNUMBER(C5:C16),IFERROR(C5:C16,0))/SUMPRODUCT(--ISNUMBER(C5:C16)),"")</f>
        <v/>
      </c>
    </row>
    <row r="7">
      <c r="A7" s="5">
        <f>Dados!A7</f>
        <v/>
      </c>
      <c r="B7" s="6">
        <f>IF(OR(Dados!B7="",Dados!B7=0),NA(),((Dados!C7+Dados!D7)/2)/Dados!B7)</f>
        <v/>
      </c>
      <c r="C7" s="6">
        <f>IF(OR(Dados!B7="",Dados!F7=""),NA(),Dados!E7/(Dados!B7*Dados!F7))</f>
        <v/>
      </c>
      <c r="D7" s="7">
        <f>IF(Dados!H7="",NA(),Dados!H7)</f>
        <v/>
      </c>
      <c r="E7" s="8">
        <f>IF(OR(Dados!G7="",Dados!G7=0),NA(),Dados!I7/Dados!G7)</f>
        <v/>
      </c>
      <c r="G7" s="9" t="inlineStr">
        <is>
          <t>Tempo médio de contratação</t>
        </is>
      </c>
      <c r="H7" s="11">
        <f>IFERROR(SUMPRODUCT(--ISNUMBER(D5:D16),IFERROR(D5:D16,0))/SUMPRODUCT(--ISNUMBER(D5:D16)),"")</f>
        <v/>
      </c>
    </row>
    <row r="8">
      <c r="A8" s="5">
        <f>Dados!A8</f>
        <v/>
      </c>
      <c r="B8" s="6">
        <f>IF(OR(Dados!B8="",Dados!B8=0),NA(),((Dados!C8+Dados!D8)/2)/Dados!B8)</f>
        <v/>
      </c>
      <c r="C8" s="6">
        <f>IF(OR(Dados!B8="",Dados!F8=""),NA(),Dados!E8/(Dados!B8*Dados!F8))</f>
        <v/>
      </c>
      <c r="D8" s="7">
        <f>IF(Dados!H8="",NA(),Dados!H8)</f>
        <v/>
      </c>
      <c r="E8" s="8">
        <f>IF(OR(Dados!G8="",Dados!G8=0),NA(),Dados!I8/Dados!G8)</f>
        <v/>
      </c>
      <c r="G8" s="9" t="inlineStr">
        <is>
          <t>Custo médio por contratação</t>
        </is>
      </c>
      <c r="H8" s="12">
        <f>IFERROR(SUMPRODUCT(--ISNUMBER(E5:E16),IFERROR(E5:E16,0))/SUMPRODUCT(--ISNUMBER(E5:E16)),"")</f>
        <v/>
      </c>
    </row>
    <row r="9">
      <c r="A9" s="5">
        <f>Dados!A9</f>
        <v/>
      </c>
      <c r="B9" s="6">
        <f>IF(OR(Dados!B9="",Dados!B9=0),NA(),((Dados!C9+Dados!D9)/2)/Dados!B9)</f>
        <v/>
      </c>
      <c r="C9" s="6">
        <f>IF(OR(Dados!B9="",Dados!F9=""),NA(),Dados!E9/(Dados!B9*Dados!F9))</f>
        <v/>
      </c>
      <c r="D9" s="7">
        <f>IF(Dados!H9="",NA(),Dados!H9)</f>
        <v/>
      </c>
      <c r="E9" s="8">
        <f>IF(OR(Dados!G9="",Dados!G9=0),NA(),Dados!I9/Dados!G9)</f>
        <v/>
      </c>
    </row>
    <row r="10">
      <c r="A10" s="5">
        <f>Dados!A10</f>
        <v/>
      </c>
      <c r="B10" s="6">
        <f>IF(OR(Dados!B10="",Dados!B10=0),NA(),((Dados!C10+Dados!D10)/2)/Dados!B10)</f>
        <v/>
      </c>
      <c r="C10" s="6">
        <f>IF(OR(Dados!B10="",Dados!F10=""),NA(),Dados!E10/(Dados!B10*Dados!F10))</f>
        <v/>
      </c>
      <c r="D10" s="7">
        <f>IF(Dados!H10="",NA(),Dados!H10)</f>
        <v/>
      </c>
      <c r="E10" s="8">
        <f>IF(OR(Dados!G10="",Dados!G10=0),NA(),Dados!I10/Dados!G10)</f>
        <v/>
      </c>
    </row>
    <row r="11">
      <c r="A11" s="5">
        <f>Dados!A11</f>
        <v/>
      </c>
      <c r="B11" s="6">
        <f>IF(OR(Dados!B11="",Dados!B11=0),NA(),((Dados!C11+Dados!D11)/2)/Dados!B11)</f>
        <v/>
      </c>
      <c r="C11" s="6">
        <f>IF(OR(Dados!B11="",Dados!F11=""),NA(),Dados!E11/(Dados!B11*Dados!F11))</f>
        <v/>
      </c>
      <c r="D11" s="7">
        <f>IF(Dados!H11="",NA(),Dados!H11)</f>
        <v/>
      </c>
      <c r="E11" s="8">
        <f>IF(OR(Dados!G11="",Dados!G11=0),NA(),Dados!I11/Dados!G11)</f>
        <v/>
      </c>
    </row>
    <row r="12">
      <c r="A12" s="5">
        <f>Dados!A12</f>
        <v/>
      </c>
      <c r="B12" s="6">
        <f>IF(OR(Dados!B12="",Dados!B12=0),NA(),((Dados!C12+Dados!D12)/2)/Dados!B12)</f>
        <v/>
      </c>
      <c r="C12" s="6">
        <f>IF(OR(Dados!B12="",Dados!F12=""),NA(),Dados!E12/(Dados!B12*Dados!F12))</f>
        <v/>
      </c>
      <c r="D12" s="7">
        <f>IF(Dados!H12="",NA(),Dados!H12)</f>
        <v/>
      </c>
      <c r="E12" s="8">
        <f>IF(OR(Dados!G12="",Dados!G12=0),NA(),Dados!I12/Dados!G12)</f>
        <v/>
      </c>
    </row>
    <row r="13">
      <c r="A13" s="5">
        <f>Dados!A13</f>
        <v/>
      </c>
      <c r="B13" s="6">
        <f>IF(OR(Dados!B13="",Dados!B13=0),NA(),((Dados!C13+Dados!D13)/2)/Dados!B13)</f>
        <v/>
      </c>
      <c r="C13" s="6">
        <f>IF(OR(Dados!B13="",Dados!F13=""),NA(),Dados!E13/(Dados!B13*Dados!F13))</f>
        <v/>
      </c>
      <c r="D13" s="7">
        <f>IF(Dados!H13="",NA(),Dados!H13)</f>
        <v/>
      </c>
      <c r="E13" s="8">
        <f>IF(OR(Dados!G13="",Dados!G13=0),NA(),Dados!I13/Dados!G13)</f>
        <v/>
      </c>
    </row>
    <row r="14">
      <c r="A14" s="5">
        <f>Dados!A14</f>
        <v/>
      </c>
      <c r="B14" s="6">
        <f>IF(OR(Dados!B14="",Dados!B14=0),NA(),((Dados!C14+Dados!D14)/2)/Dados!B14)</f>
        <v/>
      </c>
      <c r="C14" s="6">
        <f>IF(OR(Dados!B14="",Dados!F14=""),NA(),Dados!E14/(Dados!B14*Dados!F14))</f>
        <v/>
      </c>
      <c r="D14" s="7">
        <f>IF(Dados!H14="",NA(),Dados!H14)</f>
        <v/>
      </c>
      <c r="E14" s="8">
        <f>IF(OR(Dados!G14="",Dados!G14=0),NA(),Dados!I14/Dados!G14)</f>
        <v/>
      </c>
    </row>
    <row r="15">
      <c r="A15" s="5">
        <f>Dados!A15</f>
        <v/>
      </c>
      <c r="B15" s="6">
        <f>IF(OR(Dados!B15="",Dados!B15=0),NA(),((Dados!C15+Dados!D15)/2)/Dados!B15)</f>
        <v/>
      </c>
      <c r="C15" s="6">
        <f>IF(OR(Dados!B15="",Dados!F15=""),NA(),Dados!E15/(Dados!B15*Dados!F15))</f>
        <v/>
      </c>
      <c r="D15" s="7">
        <f>IF(Dados!H15="",NA(),Dados!H15)</f>
        <v/>
      </c>
      <c r="E15" s="8">
        <f>IF(OR(Dados!G15="",Dados!G15=0),NA(),Dados!I15/Dados!G15)</f>
        <v/>
      </c>
    </row>
    <row r="16">
      <c r="A16" s="5">
        <f>Dados!A16</f>
        <v/>
      </c>
      <c r="B16" s="6">
        <f>IF(OR(Dados!B16="",Dados!B16=0),NA(),((Dados!C16+Dados!D16)/2)/Dados!B16)</f>
        <v/>
      </c>
      <c r="C16" s="6">
        <f>IF(OR(Dados!B16="",Dados!F16=""),NA(),Dados!E16/(Dados!B16*Dados!F16))</f>
        <v/>
      </c>
      <c r="D16" s="7">
        <f>IF(Dados!H16="",NA(),Dados!H16)</f>
        <v/>
      </c>
      <c r="E16" s="8">
        <f>IF(OR(Dados!G16="",Dados!G16=0),NA(),Dados!I16/Dados!G16)</f>
        <v/>
      </c>
    </row>
  </sheetData>
  <conditionalFormatting sqref="B5:E16">
    <cfRule type="expression" priority="1" dxfId="0">
      <formula>ISNA(B5)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Dados mensais</t>
        </is>
      </c>
    </row>
    <row r="2">
      <c r="A2" s="13" t="inlineStr">
        <is>
          <t>Valores de exemplo: substitua pelos seus.</t>
        </is>
      </c>
    </row>
    <row r="4" ht="34" customHeight="1">
      <c r="A4" s="3" t="inlineStr">
        <is>
          <t>Mês</t>
        </is>
      </c>
      <c r="B4" s="3" t="inlineStr">
        <is>
          <t>Quadro no início</t>
        </is>
      </c>
      <c r="C4" s="3" t="inlineStr">
        <is>
          <t>Admissões</t>
        </is>
      </c>
      <c r="D4" s="3" t="inlineStr">
        <is>
          <t>Desligamentos</t>
        </is>
      </c>
      <c r="E4" s="3" t="inlineStr">
        <is>
          <t>Dias de falta</t>
        </is>
      </c>
      <c r="F4" s="3" t="inlineStr">
        <is>
          <t>Dias úteis</t>
        </is>
      </c>
      <c r="G4" s="3" t="inlineStr">
        <is>
          <t>Contratações (fechadas)</t>
        </is>
      </c>
      <c r="H4" s="3" t="inlineStr">
        <is>
          <t>Dias para contratar (média)</t>
        </is>
      </c>
      <c r="I4" s="3" t="inlineStr">
        <is>
          <t>Custo de recrutamento (R$)</t>
        </is>
      </c>
    </row>
    <row r="5">
      <c r="A5" s="14" t="inlineStr">
        <is>
          <t>Jan</t>
        </is>
      </c>
      <c r="B5" s="14" t="n">
        <v>18</v>
      </c>
      <c r="C5" s="14" t="n">
        <v>2</v>
      </c>
      <c r="D5" s="14" t="n">
        <v>1</v>
      </c>
      <c r="E5" s="14" t="n">
        <v>14</v>
      </c>
      <c r="F5" s="14" t="n">
        <v>22</v>
      </c>
      <c r="G5" s="14" t="n">
        <v>2</v>
      </c>
      <c r="H5" s="14" t="n">
        <v>21</v>
      </c>
      <c r="I5" s="15" t="n">
        <v>640</v>
      </c>
    </row>
    <row r="6">
      <c r="A6" s="14" t="inlineStr">
        <is>
          <t>Fev</t>
        </is>
      </c>
      <c r="B6" s="14" t="n">
        <v>19</v>
      </c>
      <c r="C6" s="14" t="n">
        <v>1</v>
      </c>
      <c r="D6" s="14" t="n">
        <v>2</v>
      </c>
      <c r="E6" s="14" t="n">
        <v>19</v>
      </c>
      <c r="F6" s="14" t="n">
        <v>20</v>
      </c>
      <c r="G6" s="14" t="n">
        <v>1</v>
      </c>
      <c r="H6" s="14" t="n">
        <v>25</v>
      </c>
      <c r="I6" s="15" t="n">
        <v>420</v>
      </c>
    </row>
    <row r="7">
      <c r="A7" s="14" t="inlineStr">
        <is>
          <t>Mar</t>
        </is>
      </c>
      <c r="B7" s="14" t="n">
        <v>18</v>
      </c>
      <c r="C7" s="14" t="n">
        <v>3</v>
      </c>
      <c r="D7" s="14" t="n">
        <v>1</v>
      </c>
      <c r="E7" s="14" t="n">
        <v>12</v>
      </c>
      <c r="F7" s="14" t="n">
        <v>23</v>
      </c>
      <c r="G7" s="14" t="n">
        <v>3</v>
      </c>
      <c r="H7" s="14" t="n">
        <v>18</v>
      </c>
      <c r="I7" s="15" t="n">
        <v>880</v>
      </c>
    </row>
    <row r="8">
      <c r="A8" s="14" t="inlineStr">
        <is>
          <t>Abr</t>
        </is>
      </c>
      <c r="B8" s="14" t="n">
        <v>20</v>
      </c>
      <c r="C8" s="14" t="n">
        <v>0</v>
      </c>
      <c r="D8" s="14" t="n">
        <v>2</v>
      </c>
      <c r="E8" s="14" t="n">
        <v>21</v>
      </c>
      <c r="F8" s="14" t="n">
        <v>21</v>
      </c>
      <c r="G8" s="14" t="n">
        <v>0</v>
      </c>
      <c r="H8" s="14" t="n"/>
      <c r="I8" s="15" t="n">
        <v>150</v>
      </c>
    </row>
    <row r="9">
      <c r="A9" s="14" t="inlineStr">
        <is>
          <t>Mai</t>
        </is>
      </c>
      <c r="B9" s="14" t="n">
        <v>18</v>
      </c>
      <c r="C9" s="14" t="n">
        <v>2</v>
      </c>
      <c r="D9" s="14" t="n">
        <v>0</v>
      </c>
      <c r="E9" s="14" t="n">
        <v>13</v>
      </c>
      <c r="F9" s="14" t="n">
        <v>22</v>
      </c>
      <c r="G9" s="14" t="n">
        <v>2</v>
      </c>
      <c r="H9" s="14" t="n">
        <v>20</v>
      </c>
      <c r="I9" s="15" t="n">
        <v>610</v>
      </c>
    </row>
    <row r="10">
      <c r="A10" s="14" t="inlineStr">
        <is>
          <t>Jun</t>
        </is>
      </c>
      <c r="B10" s="14" t="n">
        <v>20</v>
      </c>
      <c r="C10" s="14" t="n">
        <v>1</v>
      </c>
      <c r="D10" s="14" t="n">
        <v>1</v>
      </c>
      <c r="E10" s="14" t="n">
        <v>15</v>
      </c>
      <c r="F10" s="14" t="n">
        <v>21</v>
      </c>
      <c r="G10" s="14" t="n">
        <v>1</v>
      </c>
      <c r="H10" s="14" t="n">
        <v>17</v>
      </c>
      <c r="I10" s="15" t="n">
        <v>360</v>
      </c>
    </row>
    <row r="11">
      <c r="A11" s="14" t="inlineStr">
        <is>
          <t>Jul</t>
        </is>
      </c>
      <c r="B11" s="14" t="n"/>
      <c r="C11" s="14" t="n"/>
      <c r="D11" s="14" t="n"/>
      <c r="E11" s="14" t="n"/>
      <c r="F11" s="14" t="n"/>
      <c r="G11" s="14" t="n"/>
      <c r="H11" s="14" t="n"/>
      <c r="I11" s="15" t="n"/>
    </row>
    <row r="12">
      <c r="A12" s="14" t="inlineStr">
        <is>
          <t>Ago</t>
        </is>
      </c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A13" s="14" t="inlineStr">
        <is>
          <t>Set</t>
        </is>
      </c>
      <c r="B13" s="14" t="n"/>
      <c r="C13" s="14" t="n"/>
      <c r="D13" s="14" t="n"/>
      <c r="E13" s="14" t="n"/>
      <c r="F13" s="14" t="n"/>
      <c r="G13" s="14" t="n"/>
      <c r="H13" s="14" t="n"/>
      <c r="I13" s="15" t="n"/>
    </row>
    <row r="14">
      <c r="A14" s="14" t="inlineStr">
        <is>
          <t>Out</t>
        </is>
      </c>
      <c r="B14" s="14" t="n"/>
      <c r="C14" s="14" t="n"/>
      <c r="D14" s="14" t="n"/>
      <c r="E14" s="14" t="n"/>
      <c r="F14" s="14" t="n"/>
      <c r="G14" s="14" t="n"/>
      <c r="H14" s="14" t="n"/>
      <c r="I14" s="15" t="n"/>
    </row>
    <row r="15">
      <c r="A15" s="14" t="inlineStr">
        <is>
          <t>Nov</t>
        </is>
      </c>
      <c r="B15" s="14" t="n"/>
      <c r="C15" s="14" t="n"/>
      <c r="D15" s="14" t="n"/>
      <c r="E15" s="14" t="n"/>
      <c r="F15" s="14" t="n"/>
      <c r="G15" s="14" t="n"/>
      <c r="H15" s="14" t="n"/>
      <c r="I15" s="15" t="n"/>
    </row>
    <row r="16">
      <c r="A16" s="14" t="inlineStr">
        <is>
          <t>Dez</t>
        </is>
      </c>
      <c r="B16" s="14" t="n"/>
      <c r="C16" s="14" t="n"/>
      <c r="D16" s="14" t="n"/>
      <c r="E16" s="14" t="n"/>
      <c r="F16" s="14" t="n"/>
      <c r="G16" s="14" t="n"/>
      <c r="H16" s="14" t="n"/>
      <c r="I16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2026-10-18T16:44:46Z</dcterms:created>
  <dcterms:modified xmlns:dcterms="http://purl.org/dc/terms/" xmlns:xsi="http://www.w3.org/2001/XMLSchema-instance" xsi:type="dcterms:W3CDTF">2026-10-18T16:44:46Z</dcterms:modified>
</cp:coreProperties>
</file>